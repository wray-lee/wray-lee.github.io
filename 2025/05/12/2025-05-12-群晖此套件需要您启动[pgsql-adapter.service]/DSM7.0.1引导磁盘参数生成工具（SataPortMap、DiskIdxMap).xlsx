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D:\下载\"/>
    </mc:Choice>
  </mc:AlternateContent>
  <xr:revisionPtr revIDLastSave="0" documentId="13_ncr:1_{B2885056-5B96-455D-BB5B-0F41AD4F1075}" xr6:coauthVersionLast="47" xr6:coauthVersionMax="47" xr10:uidLastSave="{00000000-0000-0000-0000-000000000000}"/>
  <bookViews>
    <workbookView xWindow="5385" yWindow="3570" windowWidth="21600" windowHeight="113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F3" i="1"/>
  <c r="F4" i="1" s="1"/>
  <c r="E3" i="1"/>
  <c r="E4" i="1" s="1"/>
  <c r="D3" i="1"/>
  <c r="C3" i="1"/>
  <c r="B3" i="1"/>
  <c r="C4" i="1" l="1"/>
  <c r="D4" i="1"/>
</calcChain>
</file>

<file path=xl/sharedStrings.xml><?xml version="1.0" encoding="utf-8"?>
<sst xmlns="http://schemas.openxmlformats.org/spreadsheetml/2006/main" count="17" uniqueCount="17">
  <si>
    <t>DiskIdxMap=</t>
  </si>
  <si>
    <t>SasIdxMap=</t>
  </si>
  <si>
    <t>0</t>
  </si>
  <si>
    <t>主板可能会有多个磁盘控制芯片，对应上表中1#至5#，根据实际情况选择每个磁盘控制芯片所连接的硬盘个数，即可生成对应盘序参数
注意：群晖系统限制每个SATA芯片最多9个上限，如果超过上限可能会无法正常使用</t>
  </si>
  <si>
    <t>磁盘控制芯片</t>
  </si>
  <si>
    <t>1#</t>
  </si>
  <si>
    <t>2#</t>
  </si>
  <si>
    <t>3#</t>
  </si>
  <si>
    <t>4#</t>
  </si>
  <si>
    <t>5#</t>
  </si>
  <si>
    <t>硬盘接口个数</t>
  </si>
  <si>
    <t>填写芯片组被阉割SATA口数量</t>
  </si>
  <si>
    <t>inte 4-11代原生为6sata，12-13代为原生8sata，数量对得上就保护00，如数量对不上，12/13代的4sata主板计算方式8-4=4，如果是4-11代4sata板就是6-4=2。至于AMD的乱七八糟并且有些是从cpu直联有些又是南桥挂芯片所以AMD我不用也没经验自己测试吧</t>
  </si>
  <si>
    <r>
      <t>欢迎加入TANK电玩-淘宝店 虚拟化NAS群交流【四群】197165048】点击自动加群：</t>
    </r>
    <r>
      <rPr>
        <u/>
        <sz val="11"/>
        <color rgb="FF175CEB"/>
        <rFont val="SimSun"/>
      </rPr>
      <t xml:space="preserve">https://jq.qq.com/?_wv=1027&amp;k=BXa8s2ty </t>
    </r>
    <r>
      <rPr>
        <sz val="11"/>
        <color rgb="FF000000"/>
        <rFont val="SimSun"/>
      </rPr>
      <t xml:space="preserve">
文件修改自DIY NAS群772356359 .by.llm1978</t>
    </r>
    <phoneticPr fontId="1" type="noConversion"/>
  </si>
  <si>
    <t>DSM7.0.1引导磁盘参数生成工具
（SataPortMap、DiskIdxMap)</t>
    <phoneticPr fontId="17" type="noConversion"/>
  </si>
  <si>
    <t>使用腾讯文档在线预览时注意点右上角（手机在底部）的 转在线编辑</t>
    <phoneticPr fontId="17" type="noConversion"/>
  </si>
  <si>
    <t>SataPortMap=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</si>
</sst>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"/>
  </numFmts>
  <fonts count="20">
    <font>
      <sz val="11"/>
      <color indexed="8"/>
      <name val="宋体"/>
      <family val="2"/>
      <scheme val="minor"/>
    </font>
    <font>
      <sz val="20"/>
      <color rgb="FF000000"/>
      <name val="SimSun"/>
    </font>
    <font>
      <sz val="10"/>
      <name val="微软雅黑"/>
      <family val="2"/>
      <charset val="134"/>
    </font>
    <font>
      <sz val="11"/>
      <color rgb="FF000000"/>
      <name val="SimSun"/>
    </font>
    <font>
      <sz val="11"/>
      <name val="微软雅黑"/>
      <family val="2"/>
      <charset val="134"/>
    </font>
    <font>
      <sz val="20"/>
      <name val="宋体"/>
    </font>
    <font>
      <sz val="26"/>
      <color theme="1"/>
      <name val="宋体"/>
    </font>
    <font>
      <sz val="26"/>
      <name val="宋体"/>
    </font>
    <font>
      <sz val="26"/>
      <color rgb="FF000000"/>
      <name val="SimSun"/>
    </font>
    <font>
      <sz val="11"/>
      <color theme="1"/>
      <name val="宋体"/>
    </font>
    <font>
      <sz val="11"/>
      <color theme="1"/>
      <name val="SimSun"/>
    </font>
    <font>
      <sz val="20"/>
      <color theme="1"/>
      <name val="宋体"/>
    </font>
    <font>
      <sz val="12"/>
      <color rgb="FFFF0000"/>
      <name val="SimSun"/>
    </font>
    <font>
      <sz val="12"/>
      <color rgb="FFFF0000"/>
      <name val="微软雅黑"/>
      <family val="2"/>
      <charset val="134"/>
    </font>
    <font>
      <sz val="10"/>
      <color rgb="FFFF0000"/>
      <name val="宋体"/>
    </font>
    <font>
      <b/>
      <sz val="11"/>
      <color theme="1"/>
      <name val="宋体"/>
    </font>
    <font>
      <u/>
      <sz val="11"/>
      <color rgb="FF175CEB"/>
      <name val="SimSun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2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FFFF00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0" fillId="0" borderId="0" xfId="0" applyAlignment="1"/>
    <xf numFmtId="0" fontId="5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176" fontId="7" fillId="2" borderId="7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49" fontId="8" fillId="2" borderId="7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0" xfId="0" applyFont="1" applyFill="1">
      <alignment vertical="center"/>
    </xf>
    <xf numFmtId="0" fontId="9" fillId="2" borderId="0" xfId="0" applyFont="1" applyFill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176" fontId="7" fillId="2" borderId="4" xfId="0" applyNumberFormat="1" applyFont="1" applyFill="1" applyBorder="1" applyAlignment="1">
      <alignment horizontal="center" vertical="center"/>
    </xf>
    <xf numFmtId="0" fontId="15" fillId="2" borderId="0" xfId="0" applyFont="1" applyFill="1">
      <alignment vertical="center"/>
    </xf>
    <xf numFmtId="0" fontId="18" fillId="0" borderId="0" xfId="0" applyFont="1" applyAlignment="1"/>
    <xf numFmtId="0" fontId="14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>
      <alignment vertical="center"/>
    </xf>
    <xf numFmtId="0" fontId="12" fillId="2" borderId="5" xfId="0" applyFont="1" applyFill="1" applyBorder="1" applyAlignment="1">
      <alignment horizontal="center" vertical="center" wrapText="1"/>
    </xf>
    <xf numFmtId="0" fontId="13" fillId="2" borderId="2" xfId="0" applyFont="1" applyFill="1" applyBorder="1">
      <alignment vertical="center"/>
    </xf>
    <xf numFmtId="0" fontId="13" fillId="2" borderId="6" xfId="0" applyFont="1" applyFill="1" applyBorder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>
      <alignment vertical="center"/>
    </xf>
    <xf numFmtId="0" fontId="10" fillId="2" borderId="4" xfId="0" applyFont="1" applyFill="1" applyBorder="1" applyAlignment="1">
      <alignment vertical="center" wrapText="1"/>
    </xf>
    <xf numFmtId="0" fontId="9" fillId="2" borderId="4" xfId="0" applyFont="1" applyFill="1" applyBorder="1">
      <alignment vertical="center"/>
    </xf>
    <xf numFmtId="0" fontId="19" fillId="2" borderId="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jq.qq.com/?_wv=1027&amp;k=BXa8s2t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4"/>
  <sheetViews>
    <sheetView tabSelected="1" topLeftCell="A2" workbookViewId="0">
      <selection activeCell="H7" sqref="H7"/>
    </sheetView>
  </sheetViews>
  <sheetFormatPr defaultRowHeight="13.5"/>
  <cols>
    <col min="1" max="1" width="28" customWidth="1"/>
    <col min="2" max="11" width="11" customWidth="1"/>
  </cols>
  <sheetData>
    <row r="1" spans="1:11" ht="53.45" customHeight="1">
      <c r="A1" s="22" t="s">
        <v>14</v>
      </c>
      <c r="B1" s="23"/>
      <c r="C1" s="23"/>
      <c r="D1" s="23"/>
      <c r="E1" s="23"/>
      <c r="F1" s="23"/>
      <c r="G1" s="20" t="s">
        <v>15</v>
      </c>
      <c r="H1" s="1"/>
      <c r="I1" s="1"/>
      <c r="J1" s="1"/>
      <c r="K1" s="1"/>
    </row>
    <row r="2" spans="1:11" ht="50.45" customHeight="1">
      <c r="A2" s="27" t="s">
        <v>13</v>
      </c>
      <c r="B2" s="28"/>
      <c r="C2" s="28"/>
      <c r="D2" s="28"/>
      <c r="E2" s="28"/>
      <c r="F2" s="28"/>
      <c r="G2" s="1"/>
      <c r="H2" s="1"/>
      <c r="I2" s="1"/>
      <c r="J2" s="1"/>
      <c r="K2" s="1"/>
    </row>
    <row r="3" spans="1:11" ht="32.25" customHeight="1">
      <c r="A3" s="31" t="s">
        <v>16</v>
      </c>
      <c r="B3" s="3">
        <f>IF(B9="","",B9)</f>
        <v>30</v>
      </c>
      <c r="C3" s="4">
        <f>IF(C9="","",C9)</f>
        <v>2</v>
      </c>
      <c r="D3" s="4">
        <f>IF(D9="","",D9)</f>
        <v>2</v>
      </c>
      <c r="E3" s="4" t="str">
        <f>IF(E9="","",E9)</f>
        <v/>
      </c>
      <c r="F3" s="5" t="str">
        <f>IF(F9="","",F9)</f>
        <v/>
      </c>
      <c r="G3" s="1"/>
      <c r="H3" s="1"/>
      <c r="I3" s="1"/>
      <c r="J3" s="1"/>
      <c r="K3" s="1"/>
    </row>
    <row r="4" spans="1:11" ht="30.75" customHeight="1">
      <c r="A4" s="2" t="s">
        <v>0</v>
      </c>
      <c r="B4" s="6">
        <f>0+B11</f>
        <v>0</v>
      </c>
      <c r="C4" s="7" t="str">
        <f>IF(C3="","",DEC2HEX(B3,2))</f>
        <v>1E</v>
      </c>
      <c r="D4" s="7" t="str">
        <f>IF(D3="","",DEC2HEX(B3+C3,2))</f>
        <v>20</v>
      </c>
      <c r="E4" s="7" t="str">
        <f>IF(E3="","",DEC2HEX(B3+C3+D3,2))</f>
        <v/>
      </c>
      <c r="F4" s="8" t="str">
        <f>IF(F3="","",DEC2HEX(B3+C3+D3+E3,2))</f>
        <v/>
      </c>
      <c r="G4" s="1"/>
      <c r="H4" s="1"/>
      <c r="I4" s="1"/>
      <c r="J4" s="1"/>
      <c r="K4" s="1"/>
    </row>
    <row r="5" spans="1:11" ht="41.25" customHeight="1">
      <c r="A5" s="2" t="s">
        <v>1</v>
      </c>
      <c r="B5" s="9" t="s">
        <v>2</v>
      </c>
      <c r="C5" s="10"/>
      <c r="D5" s="10"/>
      <c r="E5" s="10"/>
      <c r="F5" s="11"/>
      <c r="G5" s="1"/>
      <c r="H5" s="1"/>
      <c r="I5" s="1"/>
      <c r="J5" s="1"/>
      <c r="K5" s="1"/>
    </row>
    <row r="6" spans="1:11">
      <c r="A6" s="12"/>
      <c r="B6" s="13"/>
      <c r="C6" s="13"/>
      <c r="D6" s="13"/>
      <c r="E6" s="13"/>
      <c r="F6" s="13"/>
      <c r="G6" s="1"/>
      <c r="H6" s="1"/>
      <c r="I6" s="1"/>
      <c r="J6" s="1"/>
      <c r="K6" s="1"/>
    </row>
    <row r="7" spans="1:11" ht="54.6" customHeight="1">
      <c r="A7" s="29" t="s">
        <v>3</v>
      </c>
      <c r="B7" s="30"/>
      <c r="C7" s="30"/>
      <c r="D7" s="30"/>
      <c r="E7" s="30"/>
      <c r="F7" s="30"/>
      <c r="G7" s="1"/>
      <c r="H7" s="1"/>
      <c r="I7" s="1"/>
      <c r="J7" s="1"/>
      <c r="K7" s="1"/>
    </row>
    <row r="8" spans="1:11" ht="25.5">
      <c r="A8" s="2" t="s">
        <v>4</v>
      </c>
      <c r="B8" s="14" t="s">
        <v>5</v>
      </c>
      <c r="C8" s="14" t="s">
        <v>6</v>
      </c>
      <c r="D8" s="14" t="s">
        <v>7</v>
      </c>
      <c r="E8" s="14" t="s">
        <v>8</v>
      </c>
      <c r="F8" s="14" t="s">
        <v>9</v>
      </c>
      <c r="G8" s="1"/>
      <c r="H8" s="1"/>
      <c r="I8" s="1"/>
      <c r="J8" s="1"/>
      <c r="K8" s="1"/>
    </row>
    <row r="9" spans="1:11" ht="25.5">
      <c r="A9" s="15" t="s">
        <v>10</v>
      </c>
      <c r="B9" s="16">
        <v>30</v>
      </c>
      <c r="C9" s="16">
        <v>2</v>
      </c>
      <c r="D9" s="16">
        <v>2</v>
      </c>
      <c r="E9" s="16"/>
      <c r="F9" s="16"/>
      <c r="G9" s="1"/>
      <c r="H9" s="1"/>
      <c r="I9" s="1"/>
      <c r="J9" s="1"/>
      <c r="K9" s="1"/>
    </row>
    <row r="10" spans="1:11" ht="12.75" customHeight="1">
      <c r="A10" s="24"/>
      <c r="B10" s="25"/>
      <c r="C10" s="25"/>
      <c r="D10" s="25"/>
      <c r="E10" s="25"/>
      <c r="F10" s="26"/>
      <c r="G10" s="1"/>
      <c r="H10" s="1"/>
      <c r="I10" s="1"/>
      <c r="J10" s="1"/>
      <c r="K10" s="1"/>
    </row>
    <row r="11" spans="1:11" ht="80.25" customHeight="1">
      <c r="A11" s="17" t="s">
        <v>11</v>
      </c>
      <c r="B11" s="18">
        <v>0</v>
      </c>
      <c r="C11" s="21" t="s">
        <v>12</v>
      </c>
      <c r="D11" s="21"/>
      <c r="E11" s="21"/>
      <c r="F11" s="21"/>
      <c r="G11" s="1"/>
      <c r="H11" s="1"/>
      <c r="I11" s="1"/>
      <c r="J11" s="1"/>
      <c r="K11" s="1"/>
    </row>
    <row r="12" spans="1:1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19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1:1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1:1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1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spans="1:1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1:1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1:1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1:1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1:1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spans="1:1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1:1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1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1:1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1:1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1:1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1:1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1:1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1:1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1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1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1:1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1:1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1:1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1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1:1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1:1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1:1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1:1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1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1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1:1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1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spans="1:1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spans="1:1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spans="1:1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spans="1:1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spans="1:1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spans="1:1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spans="1:1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1:1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1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pans="1:1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spans="1:1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1:1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spans="1:1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spans="1:1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spans="1:1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spans="1:1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spans="1:1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spans="1:1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spans="1:1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spans="1:1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spans="1:1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spans="1:1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spans="1:1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spans="1:1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spans="1:1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spans="1:1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spans="1:1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spans="1:1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spans="1:1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spans="1:1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spans="1:1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spans="1:1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spans="1:1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spans="1:1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spans="1:1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spans="1:1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spans="1:1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</sheetData>
  <mergeCells count="5">
    <mergeCell ref="C11:F11"/>
    <mergeCell ref="A1:F1"/>
    <mergeCell ref="A10:F10"/>
    <mergeCell ref="A2:F2"/>
    <mergeCell ref="A7:F7"/>
  </mergeCells>
  <phoneticPr fontId="17" type="noConversion"/>
  <dataValidations count="1">
    <dataValidation type="list" errorStyle="warning" allowBlank="1" showErrorMessage="1" promptTitle="提示" prompt="请输入下拉列表中的一个值" sqref="B9:F9" xr:uid="{00000000-0002-0000-0000-000000000000}">
      <formula1>"0,1,2,3,4,5,6,7,8,9"</formula1>
    </dataValidation>
  </dataValidations>
  <hyperlinks>
    <hyperlink ref="A2" r:id="rId1" display="欢迎加入TANK电玩-淘宝店 虚拟化NAS群交流【四群】197165048】点击自动加群：https://jq.qq.com/?_wv=1027&amp;k=BXa8s2ty_x000a_文件修改自DIY NAS群772356359" xr:uid="{00000000-0004-0000-0000-000000000000}"/>
  </hyperlinks>
  <pageMargins left="0.7" right="0.7" top="0.75" bottom="0.75" header="0.3" footer="0.3"/>
  <pageSetup paperSize="0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Lee Wray</cp:lastModifiedBy>
  <dcterms:created xsi:type="dcterms:W3CDTF">2023-01-16T05:09:07Z</dcterms:created>
  <dcterms:modified xsi:type="dcterms:W3CDTF">2023-10-14T10:23:22Z</dcterms:modified>
</cp:coreProperties>
</file>